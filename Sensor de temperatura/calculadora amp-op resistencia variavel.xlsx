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336c02ce1c635/Documentos/Github/Circuits/Sensor de temperatura/"/>
    </mc:Choice>
  </mc:AlternateContent>
  <xr:revisionPtr revIDLastSave="39" documentId="8_{B5796DF3-C5D5-4503-8E47-65C086B6E55C}" xr6:coauthVersionLast="47" xr6:coauthVersionMax="47" xr10:uidLastSave="{8475B818-CFC3-4B1C-AA67-5F84BD75E3F8}"/>
  <bookViews>
    <workbookView xWindow="-105" yWindow="0" windowWidth="10455" windowHeight="10905" xr2:uid="{9CE5BA22-920D-4845-A281-257BCBBFBEF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I3" i="2"/>
  <c r="C14" i="2" s="1"/>
  <c r="D18" i="2" s="1"/>
  <c r="I5" i="2"/>
  <c r="C13" i="2" l="1"/>
  <c r="C18" i="2" s="1"/>
  <c r="D19" i="2"/>
  <c r="I18" i="2"/>
</calcChain>
</file>

<file path=xl/sharedStrings.xml><?xml version="1.0" encoding="utf-8"?>
<sst xmlns="http://schemas.openxmlformats.org/spreadsheetml/2006/main" count="24" uniqueCount="23">
  <si>
    <t>R</t>
  </si>
  <si>
    <t>RF</t>
  </si>
  <si>
    <t>R1</t>
  </si>
  <si>
    <t>R2</t>
  </si>
  <si>
    <t>Vout</t>
  </si>
  <si>
    <t>V1</t>
  </si>
  <si>
    <t>Vbias</t>
  </si>
  <si>
    <t>I_espelho</t>
  </si>
  <si>
    <t>VDD</t>
  </si>
  <si>
    <t>R_min</t>
  </si>
  <si>
    <t>R_max</t>
  </si>
  <si>
    <t>Vd_min</t>
  </si>
  <si>
    <t>Vd_max</t>
  </si>
  <si>
    <t>Vth</t>
  </si>
  <si>
    <t>gm</t>
  </si>
  <si>
    <t>Amplificador Operacional</t>
  </si>
  <si>
    <t>Espelho de corrente</t>
  </si>
  <si>
    <t>min</t>
  </si>
  <si>
    <t>DADOS</t>
  </si>
  <si>
    <t>RESULTADOS</t>
  </si>
  <si>
    <t>ESCREVER DADOS</t>
  </si>
  <si>
    <t>CALCULOS</t>
  </si>
  <si>
    <t>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</si>
</sst>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 textRotation="255"/>
    </xf>
    <xf numFmtId="0" fontId="0" fillId="0" borderId="4" xfId="0" applyBorder="1" applyAlignment="1">
      <alignment horizontal="center" textRotation="255"/>
    </xf>
    <xf numFmtId="0" fontId="0" fillId="0" borderId="7" xfId="0" applyBorder="1" applyAlignment="1">
      <alignment horizontal="center" textRotation="255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47AB-FD45-4FA3-898B-9EA2B4C4A073}">
  <dimension ref="A1:I26"/>
  <sheetViews>
    <sheetView tabSelected="1" topLeftCell="B1" workbookViewId="0">
      <selection activeCell="F5" sqref="F5"/>
    </sheetView>
  </sheetViews>
  <sheetFormatPr defaultRowHeight="15" x14ac:dyDescent="0.25"/>
  <cols>
    <col min="1" max="1" width="13.5703125" customWidth="1"/>
    <col min="2" max="2" width="12.5703125" customWidth="1"/>
    <col min="3" max="3" width="11.5703125" customWidth="1"/>
    <col min="7" max="7" width="9.140625" style="5"/>
  </cols>
  <sheetData>
    <row r="1" spans="1:9" ht="15" customHeight="1" x14ac:dyDescent="0.25">
      <c r="A1" s="18" t="s">
        <v>18</v>
      </c>
      <c r="B1" s="12" t="s">
        <v>15</v>
      </c>
      <c r="C1" s="12"/>
      <c r="H1" s="13" t="s">
        <v>16</v>
      </c>
      <c r="I1" s="14"/>
    </row>
    <row r="2" spans="1:9" x14ac:dyDescent="0.25">
      <c r="A2" s="18"/>
      <c r="B2" s="1" t="s">
        <v>0</v>
      </c>
      <c r="C2" s="2">
        <v>1000</v>
      </c>
      <c r="H2" s="1" t="s">
        <v>8</v>
      </c>
      <c r="I2" s="2">
        <v>5</v>
      </c>
    </row>
    <row r="3" spans="1:9" x14ac:dyDescent="0.25">
      <c r="A3" s="18"/>
      <c r="B3" s="1" t="s">
        <v>1</v>
      </c>
      <c r="C3" s="2">
        <v>150</v>
      </c>
      <c r="H3" s="1" t="s">
        <v>7</v>
      </c>
      <c r="I3" s="2">
        <f>0.5*10^-3</f>
        <v>5.0000000000000001E-4</v>
      </c>
    </row>
    <row r="4" spans="1:9" x14ac:dyDescent="0.25">
      <c r="A4" s="18"/>
      <c r="B4" s="1" t="s">
        <v>2</v>
      </c>
      <c r="C4" s="2">
        <v>5600</v>
      </c>
      <c r="H4" s="1" t="s">
        <v>13</v>
      </c>
      <c r="I4" s="2">
        <v>1.5</v>
      </c>
    </row>
    <row r="5" spans="1:9" x14ac:dyDescent="0.25">
      <c r="A5" s="18"/>
      <c r="B5" s="1" t="s">
        <v>3</v>
      </c>
      <c r="C5" s="2">
        <v>5600</v>
      </c>
      <c r="H5" s="1" t="s">
        <v>14</v>
      </c>
      <c r="I5" s="2">
        <f>4.477*10^-3</f>
        <v>4.4770000000000001E-3</v>
      </c>
    </row>
    <row r="6" spans="1:9" x14ac:dyDescent="0.25">
      <c r="A6" s="18"/>
      <c r="B6" s="1" t="s">
        <v>6</v>
      </c>
      <c r="C6" s="2">
        <v>5</v>
      </c>
    </row>
    <row r="7" spans="1:9" x14ac:dyDescent="0.25">
      <c r="A7" s="18"/>
      <c r="B7" s="1" t="s">
        <v>9</v>
      </c>
      <c r="C7" s="2">
        <v>100</v>
      </c>
    </row>
    <row r="8" spans="1:9" s="4" customFormat="1" x14ac:dyDescent="0.25">
      <c r="A8" s="19"/>
      <c r="B8" s="1" t="s">
        <v>10</v>
      </c>
      <c r="C8" s="2">
        <v>5000</v>
      </c>
      <c r="G8" s="6"/>
    </row>
    <row r="9" spans="1:9" x14ac:dyDescent="0.25">
      <c r="A9" s="9" t="s">
        <v>21</v>
      </c>
    </row>
    <row r="10" spans="1:9" x14ac:dyDescent="0.25">
      <c r="A10" s="10"/>
    </row>
    <row r="11" spans="1:9" x14ac:dyDescent="0.25">
      <c r="A11" s="10"/>
    </row>
    <row r="12" spans="1:9" x14ac:dyDescent="0.25">
      <c r="A12" s="10"/>
    </row>
    <row r="13" spans="1:9" x14ac:dyDescent="0.25">
      <c r="A13" s="10"/>
      <c r="B13" t="s">
        <v>11</v>
      </c>
      <c r="C13">
        <f>I3*C7</f>
        <v>0.05</v>
      </c>
    </row>
    <row r="14" spans="1:9" x14ac:dyDescent="0.25">
      <c r="A14" s="10"/>
      <c r="B14" t="s">
        <v>12</v>
      </c>
      <c r="C14">
        <f>I3*C8</f>
        <v>2.5</v>
      </c>
    </row>
    <row r="15" spans="1:9" x14ac:dyDescent="0.25">
      <c r="A15" s="10"/>
    </row>
    <row r="16" spans="1:9" x14ac:dyDescent="0.25">
      <c r="A16" s="11"/>
    </row>
    <row r="17" spans="1:9" s="3" customFormat="1" x14ac:dyDescent="0.25">
      <c r="A17" s="15" t="s">
        <v>19</v>
      </c>
      <c r="B17" s="1"/>
      <c r="C17" s="1" t="s">
        <v>17</v>
      </c>
      <c r="D17" s="1" t="s">
        <v>22</v>
      </c>
      <c r="G17" s="7"/>
    </row>
    <row r="18" spans="1:9" x14ac:dyDescent="0.25">
      <c r="A18" s="16"/>
      <c r="B18" s="1" t="s">
        <v>5</v>
      </c>
      <c r="C18" s="1">
        <f>I2-C13</f>
        <v>4.95</v>
      </c>
      <c r="D18" s="1">
        <f>I2-C14</f>
        <v>2.5</v>
      </c>
      <c r="H18" s="1" t="s">
        <v>0</v>
      </c>
      <c r="I18" s="1">
        <f>(I2-I4)/I3-2/I5</f>
        <v>6553.2722805450076</v>
      </c>
    </row>
    <row r="19" spans="1:9" s="4" customFormat="1" x14ac:dyDescent="0.25">
      <c r="A19" s="17"/>
      <c r="B19" s="1" t="s">
        <v>4</v>
      </c>
      <c r="C19" s="1">
        <f>(C6-C18)*(C5/C4)*(1+2*C3/C2)</f>
        <v>6.4999999999999766E-2</v>
      </c>
      <c r="D19" s="1">
        <f>(C6-D18)*(C5/C4)*(1+2*C3/C2)</f>
        <v>3.25</v>
      </c>
      <c r="G19" s="6"/>
    </row>
    <row r="26" spans="1:9" x14ac:dyDescent="0.25">
      <c r="A26" s="8" t="s">
        <v>20</v>
      </c>
      <c r="B26" s="8"/>
      <c r="C26" s="8"/>
    </row>
  </sheetData>
  <mergeCells count="6">
    <mergeCell ref="A26:C26"/>
    <mergeCell ref="A9:A16"/>
    <mergeCell ref="B1:C1"/>
    <mergeCell ref="H1:I1"/>
    <mergeCell ref="A17:A19"/>
    <mergeCell ref="A1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Costa</dc:creator>
  <cp:lastModifiedBy>David Costa</cp:lastModifiedBy>
  <dcterms:created xsi:type="dcterms:W3CDTF">2025-11-13T17:06:50Z</dcterms:created>
  <dcterms:modified xsi:type="dcterms:W3CDTF">2025-11-14T15:45:27Z</dcterms:modified>
</cp:coreProperties>
</file>